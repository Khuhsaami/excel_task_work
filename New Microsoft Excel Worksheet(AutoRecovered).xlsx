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Er\OneDrive\Desktop\DA30\"/>
    </mc:Choice>
  </mc:AlternateContent>
  <xr:revisionPtr revIDLastSave="0" documentId="8_{4E75FD5A-838B-40D4-8983-8125AB37FA2C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Userdata" sheetId="1" r:id="rId1"/>
    <sheet name="Math basic" sheetId="2" r:id="rId2"/>
    <sheet name="MATH BASIC 2" sheetId="3" r:id="rId3"/>
    <sheet name="TEXTMETHOD" sheetId="4" r:id="rId4"/>
    <sheet name="Task1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5" i="5"/>
  <c r="J36" i="5"/>
  <c r="J35" i="5"/>
  <c r="J52" i="5"/>
  <c r="J40" i="5"/>
  <c r="J37" i="5"/>
  <c r="J23" i="5"/>
  <c r="J34" i="5"/>
  <c r="J22" i="5"/>
  <c r="J46" i="5"/>
  <c r="J64" i="5"/>
  <c r="J76" i="5"/>
  <c r="J11" i="5"/>
  <c r="J80" i="5"/>
  <c r="J79" i="5"/>
  <c r="J78" i="5"/>
  <c r="J77" i="5"/>
  <c r="J73" i="5"/>
  <c r="I35" i="4"/>
  <c r="J74" i="5"/>
  <c r="J72" i="5"/>
  <c r="J71" i="5"/>
  <c r="J70" i="5"/>
  <c r="J68" i="5"/>
  <c r="J67" i="5"/>
  <c r="J66" i="5"/>
  <c r="J65" i="5"/>
  <c r="J62" i="5"/>
  <c r="J61" i="5"/>
  <c r="J60" i="5"/>
  <c r="J59" i="5"/>
  <c r="J58" i="5"/>
  <c r="J56" i="5"/>
  <c r="J55" i="5"/>
  <c r="J54" i="5"/>
  <c r="J53" i="5"/>
  <c r="J50" i="5"/>
  <c r="J48" i="5"/>
  <c r="J49" i="5"/>
  <c r="J47" i="5"/>
  <c r="J44" i="5"/>
  <c r="J43" i="5"/>
  <c r="J42" i="5"/>
  <c r="J41" i="5"/>
  <c r="J38" i="5"/>
  <c r="J32" i="5"/>
  <c r="J31" i="5"/>
  <c r="J30" i="5"/>
  <c r="J28" i="5"/>
  <c r="J29" i="5"/>
  <c r="I14" i="4"/>
  <c r="J26" i="5"/>
  <c r="J25" i="5"/>
  <c r="J24" i="5"/>
  <c r="J12" i="5"/>
  <c r="J8" i="5"/>
  <c r="J14" i="5"/>
  <c r="J9" i="5"/>
  <c r="J15" i="5"/>
  <c r="J7" i="5"/>
  <c r="J13" i="5"/>
  <c r="M15" i="4"/>
  <c r="M6" i="4"/>
  <c r="I5" i="4"/>
  <c r="M4" i="4"/>
  <c r="L12" i="4"/>
  <c r="I10" i="4"/>
  <c r="I7" i="4"/>
  <c r="I34" i="4"/>
  <c r="I37" i="4"/>
  <c r="I31" i="4"/>
  <c r="I24" i="4"/>
  <c r="I19" i="4"/>
  <c r="I17" i="4"/>
  <c r="I15" i="4"/>
  <c r="I27" i="4"/>
  <c r="I21" i="4"/>
  <c r="S10" i="3"/>
  <c r="S5" i="3"/>
  <c r="N10" i="3"/>
  <c r="N6" i="3"/>
  <c r="N5" i="3"/>
  <c r="M6" i="3"/>
  <c r="M7" i="3"/>
  <c r="M8" i="3"/>
  <c r="M9" i="3"/>
  <c r="O9" i="3" s="1"/>
  <c r="S9" i="3" s="1"/>
  <c r="M10" i="3"/>
  <c r="O10" i="3" s="1"/>
  <c r="M5" i="3"/>
  <c r="O5" i="3" s="1"/>
  <c r="X7" i="3"/>
  <c r="X6" i="3"/>
  <c r="X8" i="3"/>
  <c r="W7" i="3"/>
  <c r="Y7" i="3"/>
  <c r="E11" i="3"/>
  <c r="O8" i="3"/>
  <c r="S8" i="3" s="1"/>
  <c r="O7" i="3"/>
  <c r="N7" i="3"/>
  <c r="N8" i="3"/>
  <c r="N9" i="3"/>
  <c r="O6" i="3"/>
  <c r="S6" i="3" s="1"/>
  <c r="E13" i="3"/>
  <c r="E12" i="3"/>
  <c r="H4" i="2"/>
  <c r="G4" i="2"/>
  <c r="F4" i="2"/>
  <c r="E4" i="2"/>
  <c r="I12" i="4" l="1"/>
  <c r="Q7" i="3"/>
  <c r="Q5" i="3"/>
  <c r="S7" i="3"/>
  <c r="P9" i="3"/>
  <c r="P8" i="3"/>
  <c r="P5" i="3"/>
  <c r="P7" i="3"/>
  <c r="P6" i="3"/>
  <c r="Q9" i="3"/>
  <c r="Q8" i="3"/>
  <c r="P10" i="3"/>
  <c r="Q10" i="3"/>
  <c r="Q6" i="3"/>
  <c r="R2" i="3"/>
  <c r="S11" i="3" l="1"/>
</calcChain>
</file>

<file path=xl/sharedStrings.xml><?xml version="1.0" encoding="utf-8"?>
<sst xmlns="http://schemas.openxmlformats.org/spreadsheetml/2006/main" count="279" uniqueCount="232">
  <si>
    <t>ID</t>
  </si>
  <si>
    <t>G</t>
  </si>
  <si>
    <t>UU</t>
  </si>
  <si>
    <t>,</t>
  </si>
  <si>
    <t>a</t>
  </si>
  <si>
    <t>b</t>
  </si>
  <si>
    <t>add</t>
  </si>
  <si>
    <t>sub</t>
  </si>
  <si>
    <t>div</t>
  </si>
  <si>
    <t>mul</t>
  </si>
  <si>
    <t>Name</t>
  </si>
  <si>
    <t xml:space="preserve">user5 </t>
  </si>
  <si>
    <t>user4</t>
  </si>
  <si>
    <t>user3</t>
  </si>
  <si>
    <t>user2</t>
  </si>
  <si>
    <t>user1</t>
  </si>
  <si>
    <t>Qty</t>
  </si>
  <si>
    <t>Header</t>
  </si>
  <si>
    <t>Row</t>
  </si>
  <si>
    <t>Info</t>
  </si>
  <si>
    <t>This is a info that user 1 have purchased 5 qty</t>
  </si>
  <si>
    <t>This is a info that user 2 have purchased 10 qty</t>
  </si>
  <si>
    <t>This is a info that user 3 have purchased 15 qty</t>
  </si>
  <si>
    <t>This is a info that user 4 have purchased 20 qty</t>
  </si>
  <si>
    <t>This is a info that user 5 have purchased 50 qty</t>
  </si>
  <si>
    <t>seat_no</t>
  </si>
  <si>
    <t>customer_name</t>
  </si>
  <si>
    <t>baggage_weight</t>
  </si>
  <si>
    <t>ticket_no</t>
  </si>
  <si>
    <t>price</t>
  </si>
  <si>
    <t>from</t>
  </si>
  <si>
    <t>to</t>
  </si>
  <si>
    <t>time</t>
  </si>
  <si>
    <t>cmp</t>
  </si>
  <si>
    <t>seat_class</t>
  </si>
  <si>
    <t>P</t>
  </si>
  <si>
    <t>E</t>
  </si>
  <si>
    <t>L</t>
  </si>
  <si>
    <t>T-101</t>
  </si>
  <si>
    <t>T-102</t>
  </si>
  <si>
    <t>T-103</t>
  </si>
  <si>
    <t>T-104</t>
  </si>
  <si>
    <t>T-105</t>
  </si>
  <si>
    <t>T-106</t>
  </si>
  <si>
    <t>NAGPUR</t>
  </si>
  <si>
    <t>PUNE</t>
  </si>
  <si>
    <t>DUBAI</t>
  </si>
  <si>
    <t>HYDERABAD</t>
  </si>
  <si>
    <t>MUMBAI</t>
  </si>
  <si>
    <t>DELHI</t>
  </si>
  <si>
    <t>Indigo</t>
  </si>
  <si>
    <t>Air India</t>
  </si>
  <si>
    <t>Qatar Airlines</t>
  </si>
  <si>
    <t>Khushi</t>
  </si>
  <si>
    <t>Shubham</t>
  </si>
  <si>
    <t>Pooja</t>
  </si>
  <si>
    <t>Samiksha</t>
  </si>
  <si>
    <t>Saurbh</t>
  </si>
  <si>
    <t>Shweta</t>
  </si>
  <si>
    <t>TAX</t>
  </si>
  <si>
    <t>Total_price</t>
  </si>
  <si>
    <t>min</t>
  </si>
  <si>
    <t>max</t>
  </si>
  <si>
    <t>avg</t>
  </si>
  <si>
    <t>Rank</t>
  </si>
  <si>
    <t>Rank eq</t>
  </si>
  <si>
    <t>gst</t>
  </si>
  <si>
    <t>qty</t>
  </si>
  <si>
    <t>final price</t>
  </si>
  <si>
    <t>Value</t>
  </si>
  <si>
    <t>Output</t>
  </si>
  <si>
    <t>Method</t>
  </si>
  <si>
    <t>CHAR</t>
  </si>
  <si>
    <t>ARC</t>
  </si>
  <si>
    <t>EXACT</t>
  </si>
  <si>
    <t>Join/concat</t>
  </si>
  <si>
    <t>CLEAN</t>
  </si>
  <si>
    <t>Khushi - ARC</t>
  </si>
  <si>
    <t>FIND</t>
  </si>
  <si>
    <t>LEFT</t>
  </si>
  <si>
    <t>RIGHT</t>
  </si>
  <si>
    <t>MID</t>
  </si>
  <si>
    <t>LOWER</t>
  </si>
  <si>
    <t>UPPER</t>
  </si>
  <si>
    <t>LEN</t>
  </si>
  <si>
    <t>REPLACE</t>
  </si>
  <si>
    <t>Formula</t>
  </si>
  <si>
    <t>Khushi-ARC</t>
  </si>
  <si>
    <t>FIND("s",G14)</t>
  </si>
  <si>
    <t>LEFT(G17,5)</t>
  </si>
  <si>
    <t>RIGHT(G19,3)</t>
  </si>
  <si>
    <t>MID(G21,3,2)</t>
  </si>
  <si>
    <t>LOWER(G24)</t>
  </si>
  <si>
    <t>UPPER(F27)</t>
  </si>
  <si>
    <t>LEN(G31)</t>
  </si>
  <si>
    <t>REPLACE(G34,5,5,"DA30")</t>
  </si>
  <si>
    <t>PROPER</t>
  </si>
  <si>
    <t>PROPER(G36)</t>
  </si>
  <si>
    <t>CONCAT(G$8,CHAR(10),"-",G$7)</t>
  </si>
  <si>
    <t>CONCAT(G$8," - ",G$7)</t>
  </si>
  <si>
    <t>CLEAN(G10)</t>
  </si>
  <si>
    <t>EXACT(I5,I7)</t>
  </si>
  <si>
    <t>FIND("A",G14)</t>
  </si>
  <si>
    <t>saami</t>
  </si>
  <si>
    <t xml:space="preserve">  </t>
  </si>
  <si>
    <t>Khu-shi</t>
  </si>
  <si>
    <t xml:space="preserve"> </t>
  </si>
  <si>
    <t>Sr.no</t>
  </si>
  <si>
    <t>CONCAT</t>
  </si>
  <si>
    <t>Cup</t>
  </si>
  <si>
    <t>Cake</t>
  </si>
  <si>
    <t>Saami</t>
  </si>
  <si>
    <t>Samosa</t>
  </si>
  <si>
    <t>Chaat</t>
  </si>
  <si>
    <t>Lion</t>
  </si>
  <si>
    <t>King</t>
  </si>
  <si>
    <t>Meher</t>
  </si>
  <si>
    <t>KAK</t>
  </si>
  <si>
    <t>PUPPY</t>
  </si>
  <si>
    <t>Light</t>
  </si>
  <si>
    <t>Star</t>
  </si>
  <si>
    <t>GOLGAPPE</t>
  </si>
  <si>
    <t>TWILIGHT</t>
  </si>
  <si>
    <t>zone</t>
  </si>
  <si>
    <t>galaxy30</t>
  </si>
  <si>
    <t>SKY</t>
  </si>
  <si>
    <t>DivING</t>
  </si>
  <si>
    <t>Home Tab</t>
  </si>
  <si>
    <t>Selena</t>
  </si>
  <si>
    <t>Data - 20</t>
  </si>
  <si>
    <t>Youtube-A2</t>
  </si>
  <si>
    <t>The Weeknd</t>
  </si>
  <si>
    <t>Sao Paulo</t>
  </si>
  <si>
    <t>Excel</t>
  </si>
  <si>
    <t>Show</t>
  </si>
  <si>
    <t>P-Try</t>
  </si>
  <si>
    <t>ApplePie</t>
  </si>
  <si>
    <t>Rain-Forest</t>
  </si>
  <si>
    <t>X -1Direction</t>
  </si>
  <si>
    <t>Autum</t>
  </si>
  <si>
    <t>Copy</t>
  </si>
  <si>
    <t>Mango</t>
  </si>
  <si>
    <t>Holdin'</t>
  </si>
  <si>
    <t>Cat</t>
  </si>
  <si>
    <t>Shift</t>
  </si>
  <si>
    <t>Justin</t>
  </si>
  <si>
    <t>right</t>
  </si>
  <si>
    <t>bETTer</t>
  </si>
  <si>
    <t>TREaT</t>
  </si>
  <si>
    <t>HE</t>
  </si>
  <si>
    <t>LARGE</t>
  </si>
  <si>
    <t>5SOS</t>
  </si>
  <si>
    <t>FELL-up</t>
  </si>
  <si>
    <t>aTTentION</t>
  </si>
  <si>
    <t>duMb</t>
  </si>
  <si>
    <t>Sea</t>
  </si>
  <si>
    <t>Snake</t>
  </si>
  <si>
    <t>Extraordinary</t>
  </si>
  <si>
    <t>snow</t>
  </si>
  <si>
    <t>Milky-way</t>
  </si>
  <si>
    <t>Up*</t>
  </si>
  <si>
    <t>Black:color</t>
  </si>
  <si>
    <t>Courtroom</t>
  </si>
  <si>
    <t>Honey-</t>
  </si>
  <si>
    <t>copy20</t>
  </si>
  <si>
    <t>Number</t>
  </si>
  <si>
    <t>bEauty</t>
  </si>
  <si>
    <t>ALOOCHAAT</t>
  </si>
  <si>
    <t>paint</t>
  </si>
  <si>
    <t>Down-Town</t>
  </si>
  <si>
    <t>sAm - 123</t>
  </si>
  <si>
    <t>CONCAT(F$12,CHAR(10),G$12)</t>
  </si>
  <si>
    <t>CONCAT(F$13,CHAR(10),"-",G$13)</t>
  </si>
  <si>
    <t>CONCAT(F$14,CHAR(10)," ",G$14)</t>
  </si>
  <si>
    <t>CONCAT(F$15,CHAR(10)," * ",G$15)</t>
  </si>
  <si>
    <t>CONCAT(F$16,CHAR(10)," - ",G$16)</t>
  </si>
  <si>
    <t>CONCAT(F$12,G$12)</t>
  </si>
  <si>
    <t>CONCAT(F$14,G$14)</t>
  </si>
  <si>
    <t>CONCAT(F$15," * ",G$15)</t>
  </si>
  <si>
    <t>CONCAT(F$16," - ",G$16)</t>
  </si>
  <si>
    <t>EXACT(F25,G25)</t>
  </si>
  <si>
    <t>EXACT(F26,G26)</t>
  </si>
  <si>
    <t>EXACT(F27,G27)</t>
  </si>
  <si>
    <t>EXACT(F28,G28)</t>
  </si>
  <si>
    <t>EXACT(F29,G29)</t>
  </si>
  <si>
    <t>FIND("T",F32)</t>
  </si>
  <si>
    <t>FIND("e",F33,3)</t>
  </si>
  <si>
    <t>FIND("20",F34,5)</t>
  </si>
  <si>
    <t>FIND("tube",F35)</t>
  </si>
  <si>
    <t>FIND("nd",F36)</t>
  </si>
  <si>
    <t>LEFT(F39,3)</t>
  </si>
  <si>
    <t>LEFT(F40,2)</t>
  </si>
  <si>
    <t>LEFT(F41,6)</t>
  </si>
  <si>
    <t>LEFT(F42,2)</t>
  </si>
  <si>
    <t>LEFT(F43,3)</t>
  </si>
  <si>
    <t>RIGHT(F46,3)</t>
  </si>
  <si>
    <t>RIGHT(F47,9)</t>
  </si>
  <si>
    <t>RIGHT(F48,11)</t>
  </si>
  <si>
    <t>RIGHT(F49,2)</t>
  </si>
  <si>
    <t>RIGHT(F50,1)</t>
  </si>
  <si>
    <t>MID(F53,1,3)</t>
  </si>
  <si>
    <t>MID(F54,4,4)</t>
  </si>
  <si>
    <t>MID(F55,2,2)</t>
  </si>
  <si>
    <t>MID(F56,3,1)</t>
  </si>
  <si>
    <t>MID(F57,1,4)</t>
  </si>
  <si>
    <t>LOWER(F60)</t>
  </si>
  <si>
    <t>LOWER(F61)</t>
  </si>
  <si>
    <t>LOWER(F62)</t>
  </si>
  <si>
    <t>LOWER(F63)</t>
  </si>
  <si>
    <t>LOWER(F64)</t>
  </si>
  <si>
    <t>UPPER(F67)</t>
  </si>
  <si>
    <t>UPPER(F68)</t>
  </si>
  <si>
    <t>UPPER(F69)</t>
  </si>
  <si>
    <t>UPPER(F70)</t>
  </si>
  <si>
    <t>UPPER(F71)</t>
  </si>
  <si>
    <t>LEN(F74)</t>
  </si>
  <si>
    <t>LEN(F75)</t>
  </si>
  <si>
    <t>LEN(F76)</t>
  </si>
  <si>
    <t>LEN(F77)</t>
  </si>
  <si>
    <t>LEN(F78)</t>
  </si>
  <si>
    <t>REPLACE(F81,6,6,":white")</t>
  </si>
  <si>
    <t>REPLACE(F82,6,6,"1")</t>
  </si>
  <si>
    <t>REPLACE(F83,7,3,"Bee")</t>
  </si>
  <si>
    <t>REPLACE(F84,3,4,"25")</t>
  </si>
  <si>
    <t>REPLACE(F85,7,5,"1")</t>
  </si>
  <si>
    <t>PROPER(F88)</t>
  </si>
  <si>
    <t>PROPER(F89)</t>
  </si>
  <si>
    <t>PROPER(F90)</t>
  </si>
  <si>
    <t>PROPER(F91)</t>
  </si>
  <si>
    <t>PROPER(F92)</t>
  </si>
  <si>
    <t>Font-P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</si>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</sst>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0" xfId="0" applyFill="1"/>
    <xf numFmtId="0" fontId="0" fillId="3" borderId="0" xfId="0" applyFill="1"/>
    <xf numFmtId="49" fontId="1" fillId="4" borderId="1" xfId="0" applyNumberFormat="1" applyFont="1" applyFill="1" applyBorder="1" applyAlignment="1">
      <alignment horizontal="left"/>
    </xf>
    <xf numFmtId="0" fontId="1" fillId="0" borderId="0" xfId="0" applyFont="1"/>
    <xf numFmtId="0" fontId="1" fillId="4" borderId="1" xfId="0" applyFont="1" applyFill="1" applyBorder="1"/>
    <xf numFmtId="1" fontId="1" fillId="5" borderId="1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20" fontId="0" fillId="8" borderId="1" xfId="0" applyNumberFormat="1" applyFill="1" applyBorder="1"/>
    <xf numFmtId="0" fontId="0" fillId="7" borderId="2" xfId="0" applyFill="1" applyBorder="1"/>
    <xf numFmtId="9" fontId="0" fillId="0" borderId="0" xfId="0" applyNumberFormat="1"/>
    <xf numFmtId="0" fontId="0" fillId="8" borderId="0" xfId="0" applyFill="1"/>
    <xf numFmtId="1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S26"/>
  <sheetViews>
    <sheetView topLeftCell="B1" zoomScale="120" zoomScaleNormal="120" workbookViewId="0">
      <selection activeCell="O6" sqref="O6:S18"/>
    </sheetView>
  </sheetViews>
  <sheetFormatPr defaultRowHeight="14.4"/>
  <cols>
    <col min="4" max="4" width="11.88671875" customWidth="1"/>
    <col min="5" max="7" width="8.88671875" hidden="1" customWidth="1"/>
    <col min="8" max="8" width="11.33203125" customWidth="1"/>
    <col min="9" max="9" width="25.5546875" customWidth="1"/>
  </cols>
  <sheetData>
    <row r="3" spans="10:19">
      <c r="O3" s="11"/>
      <c r="P3" s="11"/>
      <c r="Q3" s="11"/>
      <c r="R3" s="11"/>
      <c r="S3" s="11"/>
    </row>
    <row r="4" spans="10:19">
      <c r="O4" s="11"/>
      <c r="P4" s="11"/>
      <c r="Q4" s="11"/>
      <c r="R4" s="11"/>
      <c r="S4" s="11"/>
    </row>
    <row r="5" spans="10:19">
      <c r="O5" s="11"/>
      <c r="P5" s="11"/>
      <c r="Q5" s="11"/>
      <c r="R5" s="11"/>
      <c r="S5" s="11"/>
    </row>
    <row r="6" spans="10:19" ht="15.6">
      <c r="J6" s="4"/>
      <c r="L6" s="4"/>
    </row>
    <row r="7" spans="10:19" ht="12.6" customHeight="1">
      <c r="J7" s="4"/>
      <c r="L7" s="4"/>
    </row>
    <row r="8" spans="10:19" ht="12.6" customHeight="1">
      <c r="J8" s="4"/>
      <c r="L8" s="4"/>
    </row>
    <row r="9" spans="10:19" ht="12.6" customHeight="1">
      <c r="J9" s="4"/>
      <c r="L9" s="4"/>
    </row>
    <row r="10" spans="10:19" ht="12.6" customHeight="1">
      <c r="J10" s="4"/>
      <c r="L10" s="4"/>
    </row>
    <row r="11" spans="10:19" ht="12.6" customHeight="1">
      <c r="J11" s="4"/>
      <c r="L11" s="4"/>
    </row>
    <row r="12" spans="10:19" ht="12.6" customHeight="1">
      <c r="J12" s="4"/>
      <c r="L12" s="4"/>
    </row>
    <row r="13" spans="10:19" ht="12.6" customHeight="1">
      <c r="J13" s="4"/>
      <c r="L13" s="4"/>
    </row>
    <row r="14" spans="10:19" ht="12.6" customHeight="1">
      <c r="J14" s="4"/>
      <c r="L14" s="4"/>
    </row>
    <row r="15" spans="10:19" ht="12.6" customHeight="1">
      <c r="J15" s="4"/>
      <c r="L15" s="4"/>
    </row>
    <row r="16" spans="10:19" ht="12.6" customHeight="1">
      <c r="J16" s="4"/>
      <c r="L16" s="4"/>
    </row>
    <row r="17" spans="3:12" ht="12.6" customHeight="1">
      <c r="J17" s="4"/>
      <c r="L17" s="4"/>
    </row>
    <row r="18" spans="3:12" ht="12.6" customHeight="1">
      <c r="J18" s="4"/>
      <c r="L18" s="4"/>
    </row>
    <row r="19" spans="3:12" ht="15.6">
      <c r="C19" s="3" t="s">
        <v>0</v>
      </c>
      <c r="D19" s="3" t="s">
        <v>10</v>
      </c>
      <c r="E19" s="3"/>
      <c r="F19" s="3"/>
      <c r="G19" s="3"/>
      <c r="H19" s="3" t="s">
        <v>16</v>
      </c>
      <c r="I19" s="3" t="s">
        <v>19</v>
      </c>
      <c r="J19" s="4"/>
      <c r="K19" s="5"/>
      <c r="L19" s="4" t="s">
        <v>17</v>
      </c>
    </row>
    <row r="20" spans="3:12" ht="31.2">
      <c r="C20" s="6">
        <v>1</v>
      </c>
      <c r="D20" s="7" t="s">
        <v>15</v>
      </c>
      <c r="E20" s="8"/>
      <c r="F20" s="8"/>
      <c r="G20" s="8"/>
      <c r="H20" s="6">
        <v>5</v>
      </c>
      <c r="I20" s="9" t="s">
        <v>20</v>
      </c>
      <c r="J20" s="4"/>
      <c r="K20" s="10"/>
      <c r="L20" s="4" t="s">
        <v>18</v>
      </c>
    </row>
    <row r="21" spans="3:12" ht="31.2">
      <c r="C21" s="6">
        <v>2</v>
      </c>
      <c r="D21" s="7" t="s">
        <v>14</v>
      </c>
      <c r="E21" s="8"/>
      <c r="F21" s="8"/>
      <c r="G21" s="8"/>
      <c r="H21" s="6">
        <v>10</v>
      </c>
      <c r="I21" s="9" t="s">
        <v>21</v>
      </c>
      <c r="J21" s="4"/>
      <c r="K21" s="4"/>
      <c r="L21" s="4"/>
    </row>
    <row r="22" spans="3:12" ht="31.2">
      <c r="C22" s="6">
        <v>3</v>
      </c>
      <c r="D22" s="7" t="s">
        <v>13</v>
      </c>
      <c r="E22" s="8"/>
      <c r="F22" s="8"/>
      <c r="G22" s="8"/>
      <c r="H22" s="6">
        <v>15</v>
      </c>
      <c r="I22" s="9" t="s">
        <v>22</v>
      </c>
      <c r="J22" s="4"/>
      <c r="K22" s="4"/>
      <c r="L22" s="4"/>
    </row>
    <row r="23" spans="3:12" ht="31.2">
      <c r="C23" s="6">
        <v>4</v>
      </c>
      <c r="D23" s="7" t="s">
        <v>12</v>
      </c>
      <c r="E23" s="8"/>
      <c r="F23" s="8"/>
      <c r="G23" s="8"/>
      <c r="H23" s="6">
        <v>20</v>
      </c>
      <c r="I23" s="9" t="s">
        <v>23</v>
      </c>
    </row>
    <row r="24" spans="3:12" ht="31.2" hidden="1">
      <c r="C24" s="6">
        <v>5</v>
      </c>
      <c r="D24" s="7" t="s">
        <v>11</v>
      </c>
      <c r="E24" s="8"/>
      <c r="F24" s="8"/>
      <c r="G24" s="8"/>
      <c r="H24" s="6">
        <v>50</v>
      </c>
      <c r="I24" s="9" t="s">
        <v>24</v>
      </c>
      <c r="J24" t="s">
        <v>2</v>
      </c>
    </row>
    <row r="25" spans="3:12" hidden="1">
      <c r="J25" t="s">
        <v>1</v>
      </c>
    </row>
    <row r="26" spans="3:12" hidden="1">
      <c r="J26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8888E-56B9-4CB2-8154-A7F583BA53BF}">
  <dimension ref="A1:H4"/>
  <sheetViews>
    <sheetView workbookViewId="0">
      <selection activeCell="F4" sqref="F4"/>
    </sheetView>
  </sheetViews>
  <sheetFormatPr defaultRowHeight="14.4"/>
  <sheetData>
    <row r="1" spans="1:8">
      <c r="A1" t="s">
        <v>3</v>
      </c>
    </row>
    <row r="3" spans="1:8">
      <c r="C3" s="2" t="s">
        <v>4</v>
      </c>
      <c r="D3" s="2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C4" s="2">
        <v>10</v>
      </c>
      <c r="D4" s="2">
        <v>6.2</v>
      </c>
      <c r="E4" s="1">
        <f>C4+D4</f>
        <v>16.2</v>
      </c>
      <c r="F4" s="1">
        <f>C4-D4</f>
        <v>3.8</v>
      </c>
      <c r="G4" s="1">
        <f>C4/D4</f>
        <v>1.6129032258064515</v>
      </c>
      <c r="H4" s="1">
        <f>C4*D4</f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A29C-14CE-421D-BA5F-B70DA97BD432}">
  <dimension ref="C1:Y13"/>
  <sheetViews>
    <sheetView zoomScale="106" workbookViewId="0">
      <selection activeCell="R15" sqref="R15"/>
    </sheetView>
  </sheetViews>
  <sheetFormatPr defaultRowHeight="14.4"/>
  <cols>
    <col min="3" max="3" width="14.33203125" customWidth="1"/>
    <col min="4" max="4" width="14.5546875" customWidth="1"/>
    <col min="5" max="5" width="14.21875" customWidth="1"/>
    <col min="6" max="6" width="16.6640625" customWidth="1"/>
    <col min="7" max="7" width="15.21875" customWidth="1"/>
    <col min="8" max="8" width="15" customWidth="1"/>
    <col min="9" max="9" width="11.44140625" customWidth="1"/>
    <col min="10" max="10" width="10.77734375" customWidth="1"/>
    <col min="11" max="11" width="11.88671875" customWidth="1"/>
    <col min="12" max="12" width="20.109375" customWidth="1"/>
    <col min="13" max="14" width="12.77734375" customWidth="1"/>
    <col min="15" max="15" width="11.44140625" customWidth="1"/>
  </cols>
  <sheetData>
    <row r="1" spans="3:25">
      <c r="M1" s="16" t="s">
        <v>59</v>
      </c>
      <c r="N1" s="16" t="s">
        <v>66</v>
      </c>
      <c r="W1">
        <v>29</v>
      </c>
    </row>
    <row r="2" spans="3:25">
      <c r="M2" s="16">
        <v>0.2</v>
      </c>
      <c r="N2" s="16">
        <v>0.05</v>
      </c>
      <c r="Q2" t="s">
        <v>68</v>
      </c>
      <c r="R2">
        <f>SUMPRODUCT(O5:O10,R5:R10)</f>
        <v>1680</v>
      </c>
    </row>
    <row r="4" spans="3:25">
      <c r="C4" s="12" t="s">
        <v>25</v>
      </c>
      <c r="D4" s="12" t="s">
        <v>26</v>
      </c>
      <c r="E4" s="12" t="s">
        <v>27</v>
      </c>
      <c r="F4" s="12" t="s">
        <v>34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32</v>
      </c>
      <c r="L4" s="12" t="s">
        <v>33</v>
      </c>
      <c r="M4" s="15" t="s">
        <v>59</v>
      </c>
      <c r="N4" s="15" t="s">
        <v>66</v>
      </c>
      <c r="O4" s="15" t="s">
        <v>60</v>
      </c>
      <c r="P4" s="15" t="s">
        <v>64</v>
      </c>
      <c r="Q4" s="15" t="s">
        <v>65</v>
      </c>
      <c r="R4" s="15" t="s">
        <v>67</v>
      </c>
      <c r="S4" s="15" t="s">
        <v>68</v>
      </c>
    </row>
    <row r="5" spans="3:25">
      <c r="C5" s="17">
        <v>101</v>
      </c>
      <c r="D5" s="13" t="s">
        <v>53</v>
      </c>
      <c r="E5" s="13">
        <v>20</v>
      </c>
      <c r="F5" s="13" t="s">
        <v>35</v>
      </c>
      <c r="G5" s="13" t="s">
        <v>38</v>
      </c>
      <c r="H5" s="13">
        <v>50</v>
      </c>
      <c r="I5" s="13" t="s">
        <v>44</v>
      </c>
      <c r="J5" s="13" t="s">
        <v>49</v>
      </c>
      <c r="K5" s="14">
        <v>0.83333333333333337</v>
      </c>
      <c r="L5" s="13" t="s">
        <v>50</v>
      </c>
      <c r="M5">
        <f t="shared" ref="M5:N10" si="0">$H5*M$2</f>
        <v>10</v>
      </c>
      <c r="N5">
        <f t="shared" si="0"/>
        <v>2.5</v>
      </c>
      <c r="O5">
        <f t="shared" ref="O5:O10" si="1">M5+H5</f>
        <v>60</v>
      </c>
      <c r="P5">
        <f t="shared" ref="P5:P10" si="2">_xlfn.RANK.AVG(O5,$O$5:$O$10,0)</f>
        <v>4</v>
      </c>
      <c r="Q5">
        <f t="shared" ref="Q5:Q10" si="3">_xlfn.RANK.EQ(O5,O$5:O$10,0)</f>
        <v>4</v>
      </c>
      <c r="R5">
        <v>2</v>
      </c>
      <c r="S5">
        <f t="shared" ref="S5:S10" si="4">O5*R5</f>
        <v>120</v>
      </c>
    </row>
    <row r="6" spans="3:25">
      <c r="C6" s="13">
        <v>102</v>
      </c>
      <c r="D6" s="17" t="s">
        <v>58</v>
      </c>
      <c r="E6" s="13">
        <v>30</v>
      </c>
      <c r="F6" s="13" t="s">
        <v>36</v>
      </c>
      <c r="G6" s="13" t="s">
        <v>39</v>
      </c>
      <c r="H6" s="13">
        <v>20</v>
      </c>
      <c r="I6" s="13" t="s">
        <v>45</v>
      </c>
      <c r="J6" s="13" t="s">
        <v>48</v>
      </c>
      <c r="K6" s="14">
        <v>0.64583333333333337</v>
      </c>
      <c r="L6" s="13" t="s">
        <v>51</v>
      </c>
      <c r="M6">
        <f t="shared" si="0"/>
        <v>4</v>
      </c>
      <c r="N6">
        <f t="shared" si="0"/>
        <v>1</v>
      </c>
      <c r="O6">
        <f t="shared" si="1"/>
        <v>24</v>
      </c>
      <c r="P6">
        <f t="shared" si="2"/>
        <v>6</v>
      </c>
      <c r="Q6">
        <f t="shared" si="3"/>
        <v>6</v>
      </c>
      <c r="R6">
        <v>4</v>
      </c>
      <c r="S6">
        <f t="shared" si="4"/>
        <v>96</v>
      </c>
      <c r="X6">
        <f>W$1</f>
        <v>29</v>
      </c>
    </row>
    <row r="7" spans="3:25">
      <c r="C7" s="13">
        <v>103</v>
      </c>
      <c r="D7" s="13" t="s">
        <v>54</v>
      </c>
      <c r="E7" s="13">
        <v>50</v>
      </c>
      <c r="F7" s="13" t="s">
        <v>37</v>
      </c>
      <c r="G7" s="13" t="s">
        <v>40</v>
      </c>
      <c r="H7" s="13">
        <v>100</v>
      </c>
      <c r="I7" s="13" t="s">
        <v>44</v>
      </c>
      <c r="J7" s="13" t="s">
        <v>46</v>
      </c>
      <c r="K7" s="14">
        <v>0.34027777777777779</v>
      </c>
      <c r="L7" s="13" t="s">
        <v>52</v>
      </c>
      <c r="M7">
        <f t="shared" si="0"/>
        <v>20</v>
      </c>
      <c r="N7">
        <f t="shared" si="0"/>
        <v>5</v>
      </c>
      <c r="O7">
        <f t="shared" si="1"/>
        <v>120</v>
      </c>
      <c r="P7">
        <f t="shared" si="2"/>
        <v>2</v>
      </c>
      <c r="Q7">
        <f t="shared" si="3"/>
        <v>2</v>
      </c>
      <c r="R7">
        <v>5</v>
      </c>
      <c r="S7">
        <f t="shared" si="4"/>
        <v>600</v>
      </c>
      <c r="W7">
        <f>$W1</f>
        <v>29</v>
      </c>
      <c r="X7">
        <f>W$1</f>
        <v>29</v>
      </c>
      <c r="Y7">
        <f>$W1</f>
        <v>29</v>
      </c>
    </row>
    <row r="8" spans="3:25">
      <c r="C8" s="13">
        <v>104</v>
      </c>
      <c r="D8" s="13" t="s">
        <v>56</v>
      </c>
      <c r="E8" s="13">
        <v>40</v>
      </c>
      <c r="F8" s="13" t="s">
        <v>37</v>
      </c>
      <c r="G8" s="13" t="s">
        <v>41</v>
      </c>
      <c r="H8" s="13">
        <v>120</v>
      </c>
      <c r="I8" s="13" t="s">
        <v>46</v>
      </c>
      <c r="J8" s="13" t="s">
        <v>48</v>
      </c>
      <c r="K8" s="14">
        <v>2.361111111111111E-2</v>
      </c>
      <c r="L8" s="13" t="s">
        <v>52</v>
      </c>
      <c r="M8">
        <f t="shared" si="0"/>
        <v>24</v>
      </c>
      <c r="N8">
        <f t="shared" si="0"/>
        <v>6</v>
      </c>
      <c r="O8">
        <f t="shared" si="1"/>
        <v>144</v>
      </c>
      <c r="P8">
        <f t="shared" si="2"/>
        <v>1</v>
      </c>
      <c r="Q8">
        <f t="shared" si="3"/>
        <v>1</v>
      </c>
      <c r="R8">
        <v>1</v>
      </c>
      <c r="S8">
        <f t="shared" si="4"/>
        <v>144</v>
      </c>
      <c r="X8">
        <f>W$1</f>
        <v>29</v>
      </c>
    </row>
    <row r="9" spans="3:25">
      <c r="C9" s="13">
        <v>105</v>
      </c>
      <c r="D9" s="13" t="s">
        <v>57</v>
      </c>
      <c r="E9" s="13">
        <v>10</v>
      </c>
      <c r="F9" s="13" t="s">
        <v>36</v>
      </c>
      <c r="G9" s="13" t="s">
        <v>42</v>
      </c>
      <c r="H9" s="13">
        <v>30</v>
      </c>
      <c r="I9" s="13" t="s">
        <v>44</v>
      </c>
      <c r="J9" s="13" t="s">
        <v>47</v>
      </c>
      <c r="K9" s="14">
        <v>0.99652777777777779</v>
      </c>
      <c r="L9" s="13" t="s">
        <v>50</v>
      </c>
      <c r="M9">
        <f t="shared" si="0"/>
        <v>6</v>
      </c>
      <c r="N9">
        <f t="shared" si="0"/>
        <v>1.5</v>
      </c>
      <c r="O9">
        <f t="shared" si="1"/>
        <v>36</v>
      </c>
      <c r="P9">
        <f t="shared" si="2"/>
        <v>5</v>
      </c>
      <c r="Q9">
        <f t="shared" si="3"/>
        <v>5</v>
      </c>
      <c r="R9">
        <v>2</v>
      </c>
      <c r="S9">
        <f t="shared" si="4"/>
        <v>72</v>
      </c>
    </row>
    <row r="10" spans="3:25">
      <c r="C10" s="13">
        <v>106</v>
      </c>
      <c r="D10" s="13" t="s">
        <v>55</v>
      </c>
      <c r="E10" s="13">
        <v>30</v>
      </c>
      <c r="F10" s="13" t="s">
        <v>35</v>
      </c>
      <c r="G10" s="13" t="s">
        <v>43</v>
      </c>
      <c r="H10" s="13">
        <v>60</v>
      </c>
      <c r="I10" s="13" t="s">
        <v>47</v>
      </c>
      <c r="J10" s="13" t="s">
        <v>48</v>
      </c>
      <c r="K10" s="14">
        <v>0.53472222222222221</v>
      </c>
      <c r="L10" s="13" t="s">
        <v>51</v>
      </c>
      <c r="M10">
        <f t="shared" si="0"/>
        <v>12</v>
      </c>
      <c r="N10">
        <f t="shared" si="0"/>
        <v>3</v>
      </c>
      <c r="O10">
        <f t="shared" si="1"/>
        <v>72</v>
      </c>
      <c r="P10">
        <f t="shared" si="2"/>
        <v>3</v>
      </c>
      <c r="Q10">
        <f t="shared" si="3"/>
        <v>3</v>
      </c>
      <c r="R10">
        <v>9</v>
      </c>
      <c r="S10">
        <f t="shared" si="4"/>
        <v>648</v>
      </c>
    </row>
    <row r="11" spans="3:25">
      <c r="C11" t="s">
        <v>61</v>
      </c>
      <c r="E11">
        <f>MIN(E5:E10)</f>
        <v>10</v>
      </c>
      <c r="S11">
        <f>SUM(S5:S10)</f>
        <v>1680</v>
      </c>
    </row>
    <row r="12" spans="3:25">
      <c r="C12" t="s">
        <v>62</v>
      </c>
      <c r="E12">
        <f>MAX(E5:E10)</f>
        <v>50</v>
      </c>
    </row>
    <row r="13" spans="3:25">
      <c r="C13" t="s">
        <v>63</v>
      </c>
      <c r="E13">
        <f>AVERAGE(E5:E10)</f>
        <v>30</v>
      </c>
      <c r="V13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9A1AB-FC46-4138-A83E-7FC517B828D9}">
  <dimension ref="D4:M37"/>
  <sheetViews>
    <sheetView topLeftCell="A16" workbookViewId="0">
      <selection activeCell="I36" sqref="I36"/>
    </sheetView>
  </sheetViews>
  <sheetFormatPr defaultRowHeight="14.4"/>
  <cols>
    <col min="4" max="4" width="12.109375" customWidth="1"/>
    <col min="7" max="7" width="20.109375" customWidth="1"/>
    <col min="8" max="8" width="28.109375" customWidth="1"/>
    <col min="9" max="9" width="26.21875" customWidth="1"/>
    <col min="11" max="11" width="17.5546875" customWidth="1"/>
    <col min="13" max="13" width="15.88671875" customWidth="1"/>
  </cols>
  <sheetData>
    <row r="4" spans="4:13" ht="28.8">
      <c r="D4" t="s">
        <v>71</v>
      </c>
      <c r="G4" t="s">
        <v>69</v>
      </c>
      <c r="H4" t="s">
        <v>86</v>
      </c>
      <c r="I4" t="s">
        <v>70</v>
      </c>
      <c r="M4" s="19" t="str">
        <f>_xlfn.CONCAT(K$6,CHAR(10),"-",K7)</f>
        <v>Khushi
-saami</v>
      </c>
    </row>
    <row r="5" spans="4:13" ht="28.8">
      <c r="D5" t="s">
        <v>72</v>
      </c>
      <c r="G5">
        <v>5</v>
      </c>
      <c r="H5" t="s">
        <v>98</v>
      </c>
      <c r="I5" s="19" t="str">
        <f>_xlfn.CONCAT(G$8,CHAR(10),"-",G$7)</f>
        <v>Khushi
-ARC</v>
      </c>
      <c r="M5" s="19"/>
    </row>
    <row r="6" spans="4:13">
      <c r="K6" t="s">
        <v>53</v>
      </c>
      <c r="M6" s="19" t="str">
        <f>_xlfn.CONCAT(K$6,"-",K$7)</f>
        <v>Khushi-saami</v>
      </c>
    </row>
    <row r="7" spans="4:13">
      <c r="D7" t="s">
        <v>75</v>
      </c>
      <c r="G7" t="s">
        <v>73</v>
      </c>
      <c r="H7" t="s">
        <v>99</v>
      </c>
      <c r="I7" s="19" t="str">
        <f>_xlfn.CONCAT(G$8," - ",G$7)</f>
        <v>Khushi - ARC</v>
      </c>
      <c r="K7" t="s">
        <v>103</v>
      </c>
    </row>
    <row r="8" spans="4:13">
      <c r="G8" t="s">
        <v>53</v>
      </c>
    </row>
    <row r="10" spans="4:13">
      <c r="D10" t="s">
        <v>76</v>
      </c>
      <c r="G10" s="20" t="s">
        <v>77</v>
      </c>
      <c r="H10" t="s">
        <v>100</v>
      </c>
      <c r="I10" t="str">
        <f>CLEAN(G10)</f>
        <v>Khushi - ARC</v>
      </c>
      <c r="K10" t="s">
        <v>104</v>
      </c>
    </row>
    <row r="12" spans="4:13">
      <c r="D12" t="s">
        <v>74</v>
      </c>
      <c r="G12" t="s">
        <v>77</v>
      </c>
      <c r="H12" t="s">
        <v>101</v>
      </c>
      <c r="I12" t="b">
        <f>EXACT(I5,I7)</f>
        <v>0</v>
      </c>
      <c r="K12" t="s">
        <v>105</v>
      </c>
      <c r="L12" t="str">
        <f>CLEAN(K12)</f>
        <v>Khu-shi</v>
      </c>
    </row>
    <row r="14" spans="4:13">
      <c r="D14" t="s">
        <v>78</v>
      </c>
      <c r="G14" t="s">
        <v>87</v>
      </c>
      <c r="H14" t="s">
        <v>102</v>
      </c>
      <c r="I14">
        <f>FIND("A",G14)</f>
        <v>8</v>
      </c>
    </row>
    <row r="15" spans="4:13">
      <c r="H15" t="s">
        <v>88</v>
      </c>
      <c r="I15">
        <f>FIND("s",G14)</f>
        <v>4</v>
      </c>
      <c r="K15" t="s">
        <v>117</v>
      </c>
      <c r="M15" t="str">
        <f>_xlfn.CONCAT(K$6,CHAR(10),"-",K$7)</f>
        <v>Khushi
-saami</v>
      </c>
    </row>
    <row r="16" spans="4:13">
      <c r="K16" t="s">
        <v>118</v>
      </c>
    </row>
    <row r="17" spans="4:9">
      <c r="D17" t="s">
        <v>79</v>
      </c>
      <c r="G17" t="s">
        <v>77</v>
      </c>
      <c r="H17" t="s">
        <v>89</v>
      </c>
      <c r="I17" t="str">
        <f>LEFT(G17,5)</f>
        <v>Khush</v>
      </c>
    </row>
    <row r="19" spans="4:9">
      <c r="D19" t="s">
        <v>80</v>
      </c>
      <c r="G19" t="s">
        <v>77</v>
      </c>
      <c r="H19" t="s">
        <v>90</v>
      </c>
      <c r="I19" t="str">
        <f>RIGHT(G19,3)</f>
        <v>ARC</v>
      </c>
    </row>
    <row r="21" spans="4:9">
      <c r="D21" t="s">
        <v>81</v>
      </c>
      <c r="G21" t="s">
        <v>77</v>
      </c>
      <c r="H21" t="s">
        <v>91</v>
      </c>
      <c r="I21" t="str">
        <f>MID(G21,3,2)</f>
        <v>us</v>
      </c>
    </row>
    <row r="24" spans="4:9">
      <c r="D24" t="s">
        <v>82</v>
      </c>
      <c r="G24" t="s">
        <v>77</v>
      </c>
      <c r="H24" t="s">
        <v>92</v>
      </c>
      <c r="I24" t="str">
        <f>LOWER(G24)</f>
        <v>khushi - arc</v>
      </c>
    </row>
    <row r="27" spans="4:9">
      <c r="D27" t="s">
        <v>83</v>
      </c>
      <c r="G27" t="s">
        <v>77</v>
      </c>
      <c r="H27" t="s">
        <v>93</v>
      </c>
      <c r="I27" t="str">
        <f>UPPER(G27)</f>
        <v>KHUSHI - ARC</v>
      </c>
    </row>
    <row r="31" spans="4:9">
      <c r="D31" t="s">
        <v>84</v>
      </c>
      <c r="G31" t="s">
        <v>77</v>
      </c>
      <c r="H31" t="s">
        <v>94</v>
      </c>
      <c r="I31">
        <f>LEN(G31)</f>
        <v>12</v>
      </c>
    </row>
    <row r="34" spans="4:9">
      <c r="D34" t="s">
        <v>85</v>
      </c>
      <c r="G34" t="s">
        <v>87</v>
      </c>
      <c r="H34" t="s">
        <v>95</v>
      </c>
      <c r="I34" t="str">
        <f>REPLACE(G34,7,4,"DA30")</f>
        <v>KhushiDA30</v>
      </c>
    </row>
    <row r="35" spans="4:9">
      <c r="I35" t="str">
        <f>REPLACE(G34,6,1,"YA")</f>
        <v>KhushYA-ARC</v>
      </c>
    </row>
    <row r="37" spans="4:9">
      <c r="D37" t="s">
        <v>96</v>
      </c>
      <c r="G37" t="s">
        <v>87</v>
      </c>
      <c r="H37" t="s">
        <v>97</v>
      </c>
      <c r="I37" t="str">
        <f>PROPER(G37)</f>
        <v>Khushi-Arc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61210-39F3-493E-A827-5B05BE66106F}">
  <dimension ref="C2:NG92"/>
  <sheetViews>
    <sheetView tabSelected="1" workbookViewId="0">
      <selection activeCell="L11" sqref="A1:XFD1048576"/>
    </sheetView>
  </sheetViews>
  <sheetFormatPr defaultRowHeight="14.4"/>
  <cols>
    <col min="4" max="4" width="11.33203125" customWidth="1"/>
    <col min="6" max="6" width="13.109375" customWidth="1"/>
    <col min="7" max="7" width="12.88671875" customWidth="1"/>
    <col min="9" max="9" width="31.6640625" customWidth="1"/>
    <col min="10" max="10" width="20.109375" customWidth="1"/>
  </cols>
  <sheetData>
    <row r="2" spans="3:371">
      <c r="E2" t="s">
        <v>106</v>
      </c>
    </row>
    <row r="3" spans="3:371">
      <c r="C3" s="24" t="s">
        <v>107</v>
      </c>
      <c r="D3" s="24" t="s">
        <v>71</v>
      </c>
      <c r="E3" s="27" t="s">
        <v>231</v>
      </c>
      <c r="F3" s="28"/>
      <c r="G3" s="28"/>
      <c r="H3" s="29"/>
      <c r="I3" s="24" t="s">
        <v>86</v>
      </c>
      <c r="J3" s="24" t="s">
        <v>70</v>
      </c>
      <c r="NG3">
        <v>1</v>
      </c>
    </row>
    <row r="4" spans="3:371">
      <c r="C4" s="25"/>
      <c r="D4" s="25"/>
      <c r="E4" s="30"/>
      <c r="F4" s="31"/>
      <c r="G4" s="31"/>
      <c r="H4" s="32"/>
      <c r="I4" s="25"/>
      <c r="J4" s="25"/>
    </row>
    <row r="5" spans="3:371" ht="28.8">
      <c r="C5" s="33">
        <v>1</v>
      </c>
      <c r="D5" s="33" t="s">
        <v>72</v>
      </c>
      <c r="E5" s="21"/>
      <c r="F5" s="21"/>
      <c r="G5" s="21"/>
      <c r="H5" s="21"/>
      <c r="I5" s="21" t="s">
        <v>171</v>
      </c>
      <c r="J5" s="22" t="str">
        <f>_xlfn.CONCAT(F$11,CHAR(10),G$11)</f>
        <v>Cup
Cake</v>
      </c>
    </row>
    <row r="6" spans="3:371" ht="28.8">
      <c r="C6" s="33"/>
      <c r="D6" s="33"/>
      <c r="E6" s="21"/>
      <c r="F6" s="21"/>
      <c r="G6" s="21"/>
      <c r="H6" s="21"/>
      <c r="I6" s="21" t="s">
        <v>172</v>
      </c>
      <c r="J6" s="22" t="str">
        <f>_xlfn.CONCAT(F$12,CHAR(10),"-",G$12)</f>
        <v>Khushi
-Saami</v>
      </c>
    </row>
    <row r="7" spans="3:371" ht="28.8">
      <c r="C7" s="33"/>
      <c r="D7" s="33"/>
      <c r="E7" s="21"/>
      <c r="F7" s="21"/>
      <c r="G7" s="21"/>
      <c r="H7" s="21"/>
      <c r="I7" s="21" t="s">
        <v>173</v>
      </c>
      <c r="J7" s="22" t="str">
        <f>_xlfn.CONCAT(F$13,CHAR(10)," ",G$13)</f>
        <v>Samosa
 Chaat</v>
      </c>
    </row>
    <row r="8" spans="3:371" ht="28.8">
      <c r="C8" s="33"/>
      <c r="D8" s="33"/>
      <c r="E8" s="21"/>
      <c r="F8" s="21"/>
      <c r="G8" s="21"/>
      <c r="H8" s="21"/>
      <c r="I8" s="21" t="s">
        <v>174</v>
      </c>
      <c r="J8" s="22" t="str">
        <f>_xlfn.CONCAT(F$14,CHAR(10)," * ",G$14)</f>
        <v>Lion
 * King</v>
      </c>
    </row>
    <row r="9" spans="3:371" ht="28.8">
      <c r="C9" s="33"/>
      <c r="D9" s="33"/>
      <c r="E9" s="21"/>
      <c r="F9" s="21"/>
      <c r="G9" s="21"/>
      <c r="H9" s="21"/>
      <c r="I9" s="21" t="s">
        <v>175</v>
      </c>
      <c r="J9" s="22" t="str">
        <f>_xlfn.CONCAT(F$15,CHAR(10)," - ",G$15)</f>
        <v>Meher
 - ARC</v>
      </c>
    </row>
    <row r="11" spans="3:371">
      <c r="C11" s="24">
        <v>2</v>
      </c>
      <c r="D11" s="24" t="s">
        <v>108</v>
      </c>
      <c r="E11" s="21"/>
      <c r="F11" s="21" t="s">
        <v>109</v>
      </c>
      <c r="G11" s="21" t="s">
        <v>110</v>
      </c>
      <c r="H11" s="21"/>
      <c r="I11" s="21" t="s">
        <v>176</v>
      </c>
      <c r="J11" s="22" t="str">
        <f>_xlfn.CONCAT(F$11,G$11)</f>
        <v>CupCake</v>
      </c>
    </row>
    <row r="12" spans="3:371">
      <c r="C12" s="26"/>
      <c r="D12" s="26"/>
      <c r="E12" s="21"/>
      <c r="F12" s="21" t="s">
        <v>53</v>
      </c>
      <c r="G12" s="21" t="s">
        <v>111</v>
      </c>
      <c r="H12" s="21"/>
      <c r="I12" s="21" t="s">
        <v>176</v>
      </c>
      <c r="J12" s="21" t="str">
        <f>_xlfn.CONCAT(F$12,"-",G$12)</f>
        <v>Khushi-Saami</v>
      </c>
    </row>
    <row r="13" spans="3:371">
      <c r="C13" s="26"/>
      <c r="D13" s="26"/>
      <c r="E13" s="21"/>
      <c r="F13" s="21" t="s">
        <v>112</v>
      </c>
      <c r="G13" s="21" t="s">
        <v>113</v>
      </c>
      <c r="H13" s="21"/>
      <c r="I13" s="21" t="s">
        <v>177</v>
      </c>
      <c r="J13" s="21" t="str">
        <f>_xlfn.CONCAT(F$13,G$13)</f>
        <v>SamosaChaat</v>
      </c>
    </row>
    <row r="14" spans="3:371">
      <c r="C14" s="26"/>
      <c r="D14" s="26"/>
      <c r="E14" s="21"/>
      <c r="F14" s="21" t="s">
        <v>114</v>
      </c>
      <c r="G14" s="21" t="s">
        <v>115</v>
      </c>
      <c r="H14" s="21"/>
      <c r="I14" s="21" t="s">
        <v>178</v>
      </c>
      <c r="J14" s="21" t="str">
        <f>_xlfn.CONCAT(F$14," * ",G$14)</f>
        <v>Lion * King</v>
      </c>
    </row>
    <row r="15" spans="3:371">
      <c r="C15" s="25"/>
      <c r="D15" s="25"/>
      <c r="E15" s="21"/>
      <c r="F15" s="21" t="s">
        <v>116</v>
      </c>
      <c r="G15" s="21" t="s">
        <v>73</v>
      </c>
      <c r="H15" s="21"/>
      <c r="I15" s="21" t="s">
        <v>179</v>
      </c>
      <c r="J15" s="21" t="str">
        <f>_xlfn.CONCAT(F$15," - ",G$15)</f>
        <v>Meher - ARC</v>
      </c>
    </row>
    <row r="17" spans="3:10">
      <c r="C17" s="24">
        <v>3</v>
      </c>
      <c r="D17" s="24" t="s">
        <v>76</v>
      </c>
      <c r="E17" s="21"/>
      <c r="F17" s="21"/>
      <c r="G17" s="21"/>
      <c r="H17" s="21"/>
      <c r="I17" s="21"/>
      <c r="J17" s="21"/>
    </row>
    <row r="18" spans="3:10">
      <c r="C18" s="26"/>
      <c r="D18" s="26"/>
      <c r="E18" s="21"/>
      <c r="F18" s="21"/>
      <c r="G18" s="21"/>
      <c r="H18" s="21"/>
      <c r="I18" s="21"/>
      <c r="J18" s="21"/>
    </row>
    <row r="19" spans="3:10">
      <c r="C19" s="26"/>
      <c r="D19" s="26"/>
      <c r="E19" s="21"/>
      <c r="F19" s="21"/>
      <c r="G19" s="21"/>
      <c r="H19" s="21"/>
      <c r="I19" s="21"/>
      <c r="J19" s="21"/>
    </row>
    <row r="20" spans="3:10">
      <c r="C20" s="25"/>
      <c r="D20" s="25"/>
      <c r="E20" s="21"/>
      <c r="F20" s="21"/>
      <c r="G20" s="21"/>
      <c r="H20" s="21"/>
      <c r="I20" s="21"/>
      <c r="J20" s="21"/>
    </row>
    <row r="22" spans="3:10">
      <c r="C22" s="24">
        <v>4</v>
      </c>
      <c r="D22" s="24" t="s">
        <v>74</v>
      </c>
      <c r="E22" s="21"/>
      <c r="F22" s="21" t="s">
        <v>120</v>
      </c>
      <c r="G22" s="21" t="s">
        <v>119</v>
      </c>
      <c r="H22" s="21"/>
      <c r="I22" s="21" t="s">
        <v>180</v>
      </c>
      <c r="J22" s="21" t="b">
        <f>EXACT(F22,G22)</f>
        <v>0</v>
      </c>
    </row>
    <row r="23" spans="3:10">
      <c r="C23" s="26"/>
      <c r="D23" s="26"/>
      <c r="E23" s="21"/>
      <c r="F23" s="21" t="s">
        <v>121</v>
      </c>
      <c r="G23" s="21" t="s">
        <v>121</v>
      </c>
      <c r="H23" s="21"/>
      <c r="I23" s="21" t="s">
        <v>181</v>
      </c>
      <c r="J23" s="21" t="b">
        <f>EXACT(F23,G23)</f>
        <v>1</v>
      </c>
    </row>
    <row r="24" spans="3:10">
      <c r="C24" s="26"/>
      <c r="D24" s="26"/>
      <c r="E24" s="21"/>
      <c r="F24" s="21" t="s">
        <v>122</v>
      </c>
      <c r="G24" s="21" t="s">
        <v>123</v>
      </c>
      <c r="H24" s="21"/>
      <c r="I24" s="21" t="s">
        <v>182</v>
      </c>
      <c r="J24" s="21" t="b">
        <f>EXACT(F24,G24)</f>
        <v>0</v>
      </c>
    </row>
    <row r="25" spans="3:10">
      <c r="C25" s="26"/>
      <c r="D25" s="26"/>
      <c r="E25" s="21"/>
      <c r="F25" s="21" t="s">
        <v>124</v>
      </c>
      <c r="G25" s="21" t="s">
        <v>124</v>
      </c>
      <c r="H25" s="21"/>
      <c r="I25" s="21" t="s">
        <v>183</v>
      </c>
      <c r="J25" s="21" t="b">
        <f>EXACT(F25,G25)</f>
        <v>1</v>
      </c>
    </row>
    <row r="26" spans="3:10">
      <c r="C26" s="25"/>
      <c r="D26" s="25"/>
      <c r="E26" s="21"/>
      <c r="F26" s="21" t="s">
        <v>125</v>
      </c>
      <c r="G26" s="21" t="s">
        <v>126</v>
      </c>
      <c r="H26" s="21"/>
      <c r="I26" s="21" t="s">
        <v>184</v>
      </c>
      <c r="J26" s="21" t="b">
        <f>EXACT(F26,G26)</f>
        <v>0</v>
      </c>
    </row>
    <row r="28" spans="3:10">
      <c r="C28" s="24">
        <v>6</v>
      </c>
      <c r="D28" s="24" t="s">
        <v>78</v>
      </c>
      <c r="E28" s="21"/>
      <c r="F28" s="21" t="s">
        <v>127</v>
      </c>
      <c r="G28" s="21"/>
      <c r="H28" s="21"/>
      <c r="I28" s="21" t="s">
        <v>185</v>
      </c>
      <c r="J28" s="21">
        <f>FIND("T",F28)</f>
        <v>6</v>
      </c>
    </row>
    <row r="29" spans="3:10">
      <c r="C29" s="26"/>
      <c r="D29" s="26"/>
      <c r="E29" s="21"/>
      <c r="F29" s="21" t="s">
        <v>128</v>
      </c>
      <c r="G29" s="21"/>
      <c r="H29" s="21"/>
      <c r="I29" s="21" t="s">
        <v>186</v>
      </c>
      <c r="J29" s="21">
        <f>FIND("e",F29,3)</f>
        <v>4</v>
      </c>
    </row>
    <row r="30" spans="3:10">
      <c r="C30" s="26"/>
      <c r="D30" s="26"/>
      <c r="E30" s="21"/>
      <c r="F30" s="21" t="s">
        <v>129</v>
      </c>
      <c r="G30" s="21"/>
      <c r="H30" s="21"/>
      <c r="I30" s="21" t="s">
        <v>187</v>
      </c>
      <c r="J30" s="21">
        <f>FIND("20",F30,5)</f>
        <v>8</v>
      </c>
    </row>
    <row r="31" spans="3:10">
      <c r="C31" s="26"/>
      <c r="D31" s="26"/>
      <c r="E31" s="21"/>
      <c r="F31" s="21" t="s">
        <v>130</v>
      </c>
      <c r="G31" s="21"/>
      <c r="H31" s="21"/>
      <c r="I31" s="21" t="s">
        <v>188</v>
      </c>
      <c r="J31" s="21">
        <f>FIND("tube",F31)</f>
        <v>4</v>
      </c>
    </row>
    <row r="32" spans="3:10">
      <c r="C32" s="25"/>
      <c r="D32" s="25"/>
      <c r="E32" s="21"/>
      <c r="F32" s="21" t="s">
        <v>131</v>
      </c>
      <c r="G32" s="21"/>
      <c r="H32" s="21"/>
      <c r="I32" s="21" t="s">
        <v>189</v>
      </c>
      <c r="J32" s="21">
        <f>FIND("nd",F32)</f>
        <v>9</v>
      </c>
    </row>
    <row r="34" spans="3:10">
      <c r="C34" s="24">
        <v>7</v>
      </c>
      <c r="D34" s="24" t="s">
        <v>79</v>
      </c>
      <c r="E34" s="21"/>
      <c r="F34" s="21" t="s">
        <v>132</v>
      </c>
      <c r="G34" s="21"/>
      <c r="H34" s="21"/>
      <c r="I34" s="21" t="s">
        <v>190</v>
      </c>
      <c r="J34" s="21" t="str">
        <f>LEFT(F34,3)</f>
        <v>Sao</v>
      </c>
    </row>
    <row r="35" spans="3:10">
      <c r="C35" s="26"/>
      <c r="D35" s="26"/>
      <c r="E35" s="21"/>
      <c r="F35" s="21" t="s">
        <v>133</v>
      </c>
      <c r="G35" s="21"/>
      <c r="H35" s="21"/>
      <c r="I35" s="21" t="s">
        <v>191</v>
      </c>
      <c r="J35" s="21" t="str">
        <f>LEFT(F35,2)</f>
        <v>Ex</v>
      </c>
    </row>
    <row r="36" spans="3:10">
      <c r="C36" s="26"/>
      <c r="D36" s="26"/>
      <c r="E36" s="21"/>
      <c r="F36" s="21" t="s">
        <v>230</v>
      </c>
      <c r="G36" s="21"/>
      <c r="H36" s="21"/>
      <c r="I36" s="21" t="s">
        <v>192</v>
      </c>
      <c r="J36" s="21" t="str">
        <f>LEFT(F36,2)</f>
        <v>Fo</v>
      </c>
    </row>
    <row r="37" spans="3:10">
      <c r="C37" s="26"/>
      <c r="D37" s="26"/>
      <c r="E37" s="21"/>
      <c r="F37" s="21" t="s">
        <v>134</v>
      </c>
      <c r="G37" s="21"/>
      <c r="H37" s="21"/>
      <c r="I37" s="21" t="s">
        <v>193</v>
      </c>
      <c r="J37" s="21" t="str">
        <f>LEFT(F37,2)</f>
        <v>Sh</v>
      </c>
    </row>
    <row r="38" spans="3:10">
      <c r="C38" s="25"/>
      <c r="D38" s="25"/>
      <c r="E38" s="21"/>
      <c r="F38" s="21" t="s">
        <v>135</v>
      </c>
      <c r="G38" s="21"/>
      <c r="H38" s="21"/>
      <c r="I38" s="21" t="s">
        <v>194</v>
      </c>
      <c r="J38" s="21" t="str">
        <f>LEFT(F38,3)</f>
        <v>P-T</v>
      </c>
    </row>
    <row r="40" spans="3:10">
      <c r="C40" s="24">
        <v>8</v>
      </c>
      <c r="D40" s="24" t="s">
        <v>80</v>
      </c>
      <c r="E40" s="21"/>
      <c r="F40" s="21" t="s">
        <v>136</v>
      </c>
      <c r="G40" s="21"/>
      <c r="H40" s="21"/>
      <c r="I40" s="21" t="s">
        <v>195</v>
      </c>
      <c r="J40" s="21" t="str">
        <f>RIGHT(F40,3)</f>
        <v>Pie</v>
      </c>
    </row>
    <row r="41" spans="3:10">
      <c r="C41" s="26"/>
      <c r="D41" s="26"/>
      <c r="E41" s="21"/>
      <c r="F41" s="21" t="s">
        <v>137</v>
      </c>
      <c r="G41" s="21"/>
      <c r="H41" s="21"/>
      <c r="I41" s="21" t="s">
        <v>196</v>
      </c>
      <c r="J41" s="21" t="str">
        <f>RIGHT(F41,9)</f>
        <v>in-Forest</v>
      </c>
    </row>
    <row r="42" spans="3:10">
      <c r="C42" s="26"/>
      <c r="D42" s="26"/>
      <c r="E42" s="21"/>
      <c r="F42" s="21" t="s">
        <v>138</v>
      </c>
      <c r="G42" s="21"/>
      <c r="H42" s="21"/>
      <c r="I42" s="21" t="s">
        <v>197</v>
      </c>
      <c r="J42" s="21" t="str">
        <f>RIGHT(F42,11)</f>
        <v>-1Direction</v>
      </c>
    </row>
    <row r="43" spans="3:10">
      <c r="C43" s="26"/>
      <c r="D43" s="26"/>
      <c r="E43" s="21"/>
      <c r="F43" s="21" t="s">
        <v>139</v>
      </c>
      <c r="G43" s="21"/>
      <c r="H43" s="21"/>
      <c r="I43" s="21" t="s">
        <v>198</v>
      </c>
      <c r="J43" s="21" t="str">
        <f>RIGHT(F43,2)</f>
        <v>um</v>
      </c>
    </row>
    <row r="44" spans="3:10">
      <c r="C44" s="25"/>
      <c r="D44" s="25"/>
      <c r="E44" s="21"/>
      <c r="F44" s="21" t="s">
        <v>140</v>
      </c>
      <c r="G44" s="21"/>
      <c r="H44" s="21"/>
      <c r="I44" s="21" t="s">
        <v>199</v>
      </c>
      <c r="J44" s="21" t="str">
        <f>RIGHT(F44,1)</f>
        <v>y</v>
      </c>
    </row>
    <row r="46" spans="3:10">
      <c r="C46" s="24">
        <v>9</v>
      </c>
      <c r="D46" s="24" t="s">
        <v>81</v>
      </c>
      <c r="E46" s="21"/>
      <c r="F46" s="21" t="s">
        <v>141</v>
      </c>
      <c r="G46" s="21"/>
      <c r="H46" s="21"/>
      <c r="I46" s="21" t="s">
        <v>200</v>
      </c>
      <c r="J46" s="21" t="str">
        <f>MID(F46,1,3)</f>
        <v>Man</v>
      </c>
    </row>
    <row r="47" spans="3:10">
      <c r="C47" s="26"/>
      <c r="D47" s="26"/>
      <c r="E47" s="21"/>
      <c r="F47" s="21" t="s">
        <v>142</v>
      </c>
      <c r="G47" s="21"/>
      <c r="H47" s="21"/>
      <c r="I47" s="21" t="s">
        <v>201</v>
      </c>
      <c r="J47" s="21" t="str">
        <f>MID(F47,4,4)</f>
        <v>din'</v>
      </c>
    </row>
    <row r="48" spans="3:10">
      <c r="C48" s="26"/>
      <c r="D48" s="26"/>
      <c r="E48" s="21"/>
      <c r="F48" s="21" t="s">
        <v>143</v>
      </c>
      <c r="G48" s="21"/>
      <c r="H48" s="21"/>
      <c r="I48" s="21" t="s">
        <v>202</v>
      </c>
      <c r="J48" s="21" t="str">
        <f>MID(F48,2,2)</f>
        <v>at</v>
      </c>
    </row>
    <row r="49" spans="3:10">
      <c r="C49" s="26"/>
      <c r="D49" s="26"/>
      <c r="E49" s="21"/>
      <c r="F49" s="21" t="s">
        <v>144</v>
      </c>
      <c r="G49" s="21"/>
      <c r="H49" s="21"/>
      <c r="I49" s="21" t="s">
        <v>203</v>
      </c>
      <c r="J49" s="21" t="str">
        <f>MID(F49,3,1)</f>
        <v>i</v>
      </c>
    </row>
    <row r="50" spans="3:10">
      <c r="C50" s="25"/>
      <c r="D50" s="25"/>
      <c r="E50" s="21"/>
      <c r="F50" s="21" t="s">
        <v>145</v>
      </c>
      <c r="G50" s="21"/>
      <c r="H50" s="21"/>
      <c r="I50" s="21" t="s">
        <v>204</v>
      </c>
      <c r="J50" s="21" t="str">
        <f>MID(F50,1,4)</f>
        <v>Just</v>
      </c>
    </row>
    <row r="52" spans="3:10">
      <c r="C52" s="24">
        <v>10</v>
      </c>
      <c r="D52" s="24" t="s">
        <v>82</v>
      </c>
      <c r="E52" s="23"/>
      <c r="F52" s="23" t="s">
        <v>151</v>
      </c>
      <c r="G52" s="23"/>
      <c r="H52" s="23"/>
      <c r="I52" s="23" t="s">
        <v>205</v>
      </c>
      <c r="J52" s="23" t="str">
        <f>LOWER(F52)</f>
        <v>5sos</v>
      </c>
    </row>
    <row r="53" spans="3:10">
      <c r="C53" s="26"/>
      <c r="D53" s="26"/>
      <c r="E53" s="23"/>
      <c r="F53" s="23" t="s">
        <v>147</v>
      </c>
      <c r="G53" s="23"/>
      <c r="H53" s="23"/>
      <c r="I53" s="23" t="s">
        <v>206</v>
      </c>
      <c r="J53" s="23" t="str">
        <f>LOWER(F53)</f>
        <v>better</v>
      </c>
    </row>
    <row r="54" spans="3:10">
      <c r="C54" s="26"/>
      <c r="D54" s="26"/>
      <c r="E54" s="23"/>
      <c r="F54" s="23" t="s">
        <v>148</v>
      </c>
      <c r="G54" s="23"/>
      <c r="H54" s="23"/>
      <c r="I54" s="23" t="s">
        <v>207</v>
      </c>
      <c r="J54" s="23" t="str">
        <f>LOWER(F54)</f>
        <v>treat</v>
      </c>
    </row>
    <row r="55" spans="3:10">
      <c r="C55" s="26"/>
      <c r="D55" s="26"/>
      <c r="E55" s="23"/>
      <c r="F55" s="23" t="s">
        <v>149</v>
      </c>
      <c r="G55" s="23"/>
      <c r="H55" s="23"/>
      <c r="I55" s="23" t="s">
        <v>208</v>
      </c>
      <c r="J55" s="23" t="str">
        <f>LOWER(F55)</f>
        <v>he</v>
      </c>
    </row>
    <row r="56" spans="3:10">
      <c r="C56" s="25"/>
      <c r="D56" s="25"/>
      <c r="E56" s="23"/>
      <c r="F56" s="23" t="s">
        <v>150</v>
      </c>
      <c r="G56" s="23"/>
      <c r="H56" s="23"/>
      <c r="I56" s="23" t="s">
        <v>209</v>
      </c>
      <c r="J56" s="23" t="str">
        <f>LOWER(F56)</f>
        <v>large</v>
      </c>
    </row>
    <row r="58" spans="3:10">
      <c r="C58" s="24">
        <v>11</v>
      </c>
      <c r="D58" s="24" t="s">
        <v>83</v>
      </c>
      <c r="E58" s="21"/>
      <c r="F58" s="21" t="s">
        <v>146</v>
      </c>
      <c r="G58" s="21"/>
      <c r="H58" s="21"/>
      <c r="I58" s="21" t="s">
        <v>210</v>
      </c>
      <c r="J58" s="21" t="str">
        <f>UPPER(F58)</f>
        <v>RIGHT</v>
      </c>
    </row>
    <row r="59" spans="3:10">
      <c r="C59" s="26"/>
      <c r="D59" s="26"/>
      <c r="E59" s="21"/>
      <c r="F59" s="21" t="s">
        <v>152</v>
      </c>
      <c r="G59" s="21"/>
      <c r="H59" s="21"/>
      <c r="I59" s="21" t="s">
        <v>211</v>
      </c>
      <c r="J59" s="21" t="str">
        <f>UPPER(F59)</f>
        <v>FELL-UP</v>
      </c>
    </row>
    <row r="60" spans="3:10">
      <c r="C60" s="26"/>
      <c r="D60" s="26"/>
      <c r="E60" s="21"/>
      <c r="F60" s="21" t="s">
        <v>153</v>
      </c>
      <c r="G60" s="21"/>
      <c r="H60" s="21"/>
      <c r="I60" s="21" t="s">
        <v>212</v>
      </c>
      <c r="J60" s="21" t="str">
        <f>UPPER(F60)</f>
        <v>ATTENTION</v>
      </c>
    </row>
    <row r="61" spans="3:10">
      <c r="C61" s="26"/>
      <c r="D61" s="26"/>
      <c r="E61" s="21"/>
      <c r="F61" s="21" t="s">
        <v>154</v>
      </c>
      <c r="G61" s="21"/>
      <c r="H61" s="21"/>
      <c r="I61" s="21" t="s">
        <v>213</v>
      </c>
      <c r="J61" s="21" t="str">
        <f>UPPER(F61)</f>
        <v>DUMB</v>
      </c>
    </row>
    <row r="62" spans="3:10">
      <c r="C62" s="25"/>
      <c r="D62" s="25"/>
      <c r="E62" s="21"/>
      <c r="F62" s="21" t="s">
        <v>155</v>
      </c>
      <c r="G62" s="21"/>
      <c r="H62" s="21"/>
      <c r="I62" s="21" t="s">
        <v>214</v>
      </c>
      <c r="J62" s="21" t="str">
        <f>UPPER(F62)</f>
        <v>SEA</v>
      </c>
    </row>
    <row r="64" spans="3:10">
      <c r="C64" s="24">
        <v>12</v>
      </c>
      <c r="D64" s="24" t="s">
        <v>84</v>
      </c>
      <c r="E64" s="21"/>
      <c r="F64" s="21" t="s">
        <v>156</v>
      </c>
      <c r="G64" s="21"/>
      <c r="H64" s="21"/>
      <c r="I64" s="21" t="s">
        <v>215</v>
      </c>
      <c r="J64" s="21">
        <f>LEN(F64)</f>
        <v>5</v>
      </c>
    </row>
    <row r="65" spans="3:10">
      <c r="C65" s="26"/>
      <c r="D65" s="26"/>
      <c r="E65" s="21"/>
      <c r="F65" s="21" t="s">
        <v>157</v>
      </c>
      <c r="G65" s="21"/>
      <c r="H65" s="21"/>
      <c r="I65" s="21" t="s">
        <v>216</v>
      </c>
      <c r="J65" s="21">
        <f>LEN(F65)</f>
        <v>13</v>
      </c>
    </row>
    <row r="66" spans="3:10">
      <c r="C66" s="26"/>
      <c r="D66" s="26"/>
      <c r="E66" s="21"/>
      <c r="F66" s="21" t="s">
        <v>160</v>
      </c>
      <c r="G66" s="21"/>
      <c r="H66" s="21"/>
      <c r="I66" s="21" t="s">
        <v>217</v>
      </c>
      <c r="J66" s="21">
        <f>LEN(F66)</f>
        <v>3</v>
      </c>
    </row>
    <row r="67" spans="3:10">
      <c r="C67" s="26"/>
      <c r="D67" s="26"/>
      <c r="E67" s="21"/>
      <c r="F67" s="21" t="s">
        <v>159</v>
      </c>
      <c r="G67" s="21"/>
      <c r="H67" s="21"/>
      <c r="I67" s="21" t="s">
        <v>218</v>
      </c>
      <c r="J67" s="21">
        <f>LEN(F67)</f>
        <v>9</v>
      </c>
    </row>
    <row r="68" spans="3:10">
      <c r="C68" s="25"/>
      <c r="D68" s="25"/>
      <c r="E68" s="21"/>
      <c r="F68" s="21" t="s">
        <v>158</v>
      </c>
      <c r="G68" s="21"/>
      <c r="H68" s="21"/>
      <c r="I68" s="21" t="s">
        <v>219</v>
      </c>
      <c r="J68" s="21">
        <f>LEN(F68)</f>
        <v>4</v>
      </c>
    </row>
    <row r="70" spans="3:10">
      <c r="C70" s="24">
        <v>13</v>
      </c>
      <c r="D70" s="24" t="s">
        <v>85</v>
      </c>
      <c r="E70" s="21"/>
      <c r="F70" s="21" t="s">
        <v>161</v>
      </c>
      <c r="G70" s="21"/>
      <c r="H70" s="21"/>
      <c r="I70" s="21" t="s">
        <v>220</v>
      </c>
      <c r="J70" s="21" t="str">
        <f>REPLACE(F70,6,6,":white")</f>
        <v>Black:white</v>
      </c>
    </row>
    <row r="71" spans="3:10">
      <c r="C71" s="26"/>
      <c r="D71" s="26"/>
      <c r="E71" s="21"/>
      <c r="F71" s="21" t="s">
        <v>162</v>
      </c>
      <c r="G71" s="21"/>
      <c r="H71" s="21"/>
      <c r="I71" s="21" t="s">
        <v>221</v>
      </c>
      <c r="J71" s="21" t="str">
        <f>REPLACE(F71,6,6,"1")</f>
        <v>Court1</v>
      </c>
    </row>
    <row r="72" spans="3:10">
      <c r="C72" s="26"/>
      <c r="D72" s="26"/>
      <c r="E72" s="21"/>
      <c r="F72" s="21" t="s">
        <v>163</v>
      </c>
      <c r="G72" s="21"/>
      <c r="H72" s="21"/>
      <c r="I72" s="21" t="s">
        <v>222</v>
      </c>
      <c r="J72" s="21" t="str">
        <f>REPLACE(F72,7,3,"Bee")</f>
        <v>Honey-Bee</v>
      </c>
    </row>
    <row r="73" spans="3:10">
      <c r="C73" s="26"/>
      <c r="D73" s="26"/>
      <c r="E73" s="21"/>
      <c r="F73" s="21" t="s">
        <v>164</v>
      </c>
      <c r="G73" s="21"/>
      <c r="H73" s="21"/>
      <c r="I73" s="21" t="s">
        <v>223</v>
      </c>
      <c r="J73" s="21" t="str">
        <f>REPLACE(F73,3,4,"25")</f>
        <v>co25</v>
      </c>
    </row>
    <row r="74" spans="3:10">
      <c r="C74" s="25"/>
      <c r="D74" s="25"/>
      <c r="E74" s="21"/>
      <c r="F74" s="21" t="s">
        <v>165</v>
      </c>
      <c r="G74" s="21"/>
      <c r="H74" s="21"/>
      <c r="I74" s="21" t="s">
        <v>224</v>
      </c>
      <c r="J74" s="21" t="str">
        <f>REPLACE(F74,7,5,"1")</f>
        <v>Number1</v>
      </c>
    </row>
    <row r="76" spans="3:10">
      <c r="C76" s="24">
        <v>14</v>
      </c>
      <c r="D76" s="24" t="s">
        <v>96</v>
      </c>
      <c r="E76" s="21"/>
      <c r="F76" s="21" t="s">
        <v>166</v>
      </c>
      <c r="G76" s="21"/>
      <c r="H76" s="21"/>
      <c r="I76" s="21" t="s">
        <v>225</v>
      </c>
      <c r="J76" s="21" t="str">
        <f>PROPER(F76)</f>
        <v>Beauty</v>
      </c>
    </row>
    <row r="77" spans="3:10">
      <c r="C77" s="26"/>
      <c r="D77" s="26"/>
      <c r="E77" s="21"/>
      <c r="F77" s="21" t="s">
        <v>167</v>
      </c>
      <c r="G77" s="21"/>
      <c r="H77" s="21"/>
      <c r="I77" s="21" t="s">
        <v>226</v>
      </c>
      <c r="J77" s="21" t="str">
        <f>PROPER(F77)</f>
        <v>Aloochaat</v>
      </c>
    </row>
    <row r="78" spans="3:10">
      <c r="C78" s="26"/>
      <c r="D78" s="26"/>
      <c r="E78" s="21"/>
      <c r="F78" s="21" t="s">
        <v>169</v>
      </c>
      <c r="G78" s="21"/>
      <c r="H78" s="21"/>
      <c r="I78" s="21" t="s">
        <v>227</v>
      </c>
      <c r="J78" s="21" t="str">
        <f>PROPER(F78)</f>
        <v>Down-Town</v>
      </c>
    </row>
    <row r="79" spans="3:10">
      <c r="C79" s="26"/>
      <c r="D79" s="26"/>
      <c r="E79" s="21"/>
      <c r="F79" s="21" t="s">
        <v>168</v>
      </c>
      <c r="G79" s="21"/>
      <c r="H79" s="21"/>
      <c r="I79" s="21" t="s">
        <v>228</v>
      </c>
      <c r="J79" s="21" t="str">
        <f>PROPER(F79)</f>
        <v>Paint</v>
      </c>
    </row>
    <row r="80" spans="3:10">
      <c r="C80" s="25"/>
      <c r="D80" s="25"/>
      <c r="E80" s="21"/>
      <c r="F80" s="21" t="s">
        <v>170</v>
      </c>
      <c r="G80" s="21"/>
      <c r="H80" s="21"/>
      <c r="I80" s="21" t="s">
        <v>229</v>
      </c>
      <c r="J80" s="21" t="str">
        <f>PROPER(F80)</f>
        <v>Sam - 123</v>
      </c>
    </row>
    <row r="81" customFormat="1"/>
    <row r="82" customFormat="1"/>
    <row r="83" customFormat="1"/>
    <row r="84" customFormat="1"/>
    <row r="85" customFormat="1"/>
    <row r="88" customFormat="1"/>
    <row r="89" customFormat="1"/>
    <row r="90" customFormat="1"/>
    <row r="91" customFormat="1"/>
    <row r="92" customFormat="1"/>
  </sheetData>
  <mergeCells count="31">
    <mergeCell ref="C5:C9"/>
    <mergeCell ref="D5:D9"/>
    <mergeCell ref="C11:C15"/>
    <mergeCell ref="D11:D15"/>
    <mergeCell ref="C17:C20"/>
    <mergeCell ref="D17:D20"/>
    <mergeCell ref="C46:C50"/>
    <mergeCell ref="D52:D56"/>
    <mergeCell ref="C52:C56"/>
    <mergeCell ref="C22:C26"/>
    <mergeCell ref="D22:D26"/>
    <mergeCell ref="D28:D32"/>
    <mergeCell ref="C28:C32"/>
    <mergeCell ref="C34:C38"/>
    <mergeCell ref="D34:D38"/>
    <mergeCell ref="J3:J4"/>
    <mergeCell ref="C76:C80"/>
    <mergeCell ref="D76:D80"/>
    <mergeCell ref="C3:C4"/>
    <mergeCell ref="D3:D4"/>
    <mergeCell ref="E3:H4"/>
    <mergeCell ref="I3:I4"/>
    <mergeCell ref="D58:D62"/>
    <mergeCell ref="C58:C62"/>
    <mergeCell ref="C64:C68"/>
    <mergeCell ref="D64:D68"/>
    <mergeCell ref="C70:C74"/>
    <mergeCell ref="D70:D74"/>
    <mergeCell ref="D40:D44"/>
    <mergeCell ref="C40:C44"/>
    <mergeCell ref="D46:D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Userdata</vt:lpstr>
      <vt:lpstr>Math basic</vt:lpstr>
      <vt:lpstr>MATH BASIC 2</vt:lpstr>
      <vt:lpstr>TEXTMETHOD</vt:lpstr>
      <vt:lpstr>Task1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Ramteke</dc:creator>
  <cp:lastModifiedBy>AcEr</cp:lastModifiedBy>
  <cp:lastPrinted>2026-02-28T12:43:57Z</cp:lastPrinted>
  <dcterms:created xsi:type="dcterms:W3CDTF">2015-06-05T18:17:20Z</dcterms:created>
  <dcterms:modified xsi:type="dcterms:W3CDTF">2026-03-08T17:00:37Z</dcterms:modified>
</cp:coreProperties>
</file>